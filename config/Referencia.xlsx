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20610" yWindow="4575" windowWidth="20730" windowHeight="11160"/>
  </bookViews>
  <sheets>
    <sheet name="Instalacion" sheetId="1" r:id="rId1"/>
    <sheet name="Locaciones" sheetId="2" r:id="rId2"/>
    <sheet name="Tecnologias" sheetId="3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</calcChain>
</file>

<file path=xl/sharedStrings.xml><?xml version="1.0" encoding="utf-8"?>
<sst xmlns="http://schemas.openxmlformats.org/spreadsheetml/2006/main" count="96" uniqueCount="33">
  <si>
    <t>PUCP</t>
  </si>
  <si>
    <t>UNI</t>
  </si>
  <si>
    <t>Nombre</t>
  </si>
  <si>
    <t>Departamento</t>
  </si>
  <si>
    <t>Lima</t>
  </si>
  <si>
    <t>HIT</t>
  </si>
  <si>
    <t>CIGS</t>
  </si>
  <si>
    <t>PERC</t>
  </si>
  <si>
    <t>ID</t>
  </si>
  <si>
    <t>TeconologIa</t>
  </si>
  <si>
    <t>Locacion</t>
  </si>
  <si>
    <t>Tecnología</t>
  </si>
  <si>
    <t>Nro. Paneles</t>
  </si>
  <si>
    <t>Area (m2)</t>
  </si>
  <si>
    <t>P_o (kW)</t>
  </si>
  <si>
    <t>SFCR1</t>
  </si>
  <si>
    <t>SFCR2</t>
  </si>
  <si>
    <t>SFCR3</t>
  </si>
  <si>
    <t>Latitud</t>
  </si>
  <si>
    <t>Longitud</t>
  </si>
  <si>
    <t>Altura</t>
  </si>
  <si>
    <t>Zona Horaria</t>
  </si>
  <si>
    <t>Tilt</t>
  </si>
  <si>
    <t>Azimuth</t>
  </si>
  <si>
    <t>UNTRM</t>
  </si>
  <si>
    <t>Chachapoyas</t>
  </si>
  <si>
    <t>PowerFactor</t>
  </si>
  <si>
    <t>UNAJ</t>
  </si>
  <si>
    <t>UNJBG</t>
  </si>
  <si>
    <t>UNSA</t>
  </si>
  <si>
    <t>Juliaca</t>
  </si>
  <si>
    <t>Tacna</t>
  </si>
  <si>
    <t>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</si>
</sst>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O19" totalsRowShown="0" headerRowDxfId="23" dataDxfId="22">
  <autoFilter ref="A1:O19"/>
  <tableColumns count="15">
    <tableColumn id="1" name="ID" dataDxfId="21"/>
    <tableColumn id="8" name="Nombre" dataDxfId="20"/>
    <tableColumn id="2" name="Locacion" dataDxfId="19"/>
    <tableColumn id="3" name="Departamento" dataDxfId="18">
      <calculatedColumnFormula>LOOKUP(C2,Locaciones[Departamento])</calculatedColumnFormula>
    </tableColumn>
    <tableColumn id="4" name="Tecnología" dataDxfId="17"/>
    <tableColumn id="5" name="Nro. Paneles" dataDxfId="16"/>
    <tableColumn id="6" name="Area (m2)" dataDxfId="15"/>
    <tableColumn id="7" name="P_o (kW)" dataDxfId="14"/>
    <tableColumn id="9" name="Latitud" dataDxfId="13"/>
    <tableColumn id="10" name="Longitud" dataDxfId="12"/>
    <tableColumn id="11" name="Altura" dataDxfId="11"/>
    <tableColumn id="12" name="Zona Horaria" dataDxfId="10"/>
    <tableColumn id="13" name="Tilt" dataDxfId="9"/>
    <tableColumn id="14" name="Azimuth" dataDxfId="8"/>
    <tableColumn id="15" name="PowerFactor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Locaciones" displayName="Locaciones" ref="A1:B4" totalsRowShown="0" headerRowDxfId="6" dataDxfId="5">
  <autoFilter ref="A1:B4"/>
  <tableColumns count="2">
    <tableColumn id="1" name="Nombre" dataDxfId="4"/>
    <tableColumn id="2" name="Departamento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ecnologias" displayName="Tecnologias" ref="A1:A4" totalsRowShown="0" headerRowDxfId="2" dataDxfId="1">
  <autoFilter ref="A1:A4"/>
  <tableColumns count="1">
    <tableColumn id="1" name="Teconolog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workbookViewId="0">
      <selection activeCell="F24" sqref="F24"/>
    </sheetView>
  </sheetViews>
  <sheetFormatPr baseColWidth="10" defaultColWidth="9.140625" defaultRowHeight="15" x14ac:dyDescent="0.25"/>
  <cols>
    <col min="1" max="1" width="7.42578125" bestFit="1" customWidth="1"/>
    <col min="2" max="2" width="12" customWidth="1"/>
    <col min="3" max="3" width="13.140625" bestFit="1" customWidth="1"/>
    <col min="4" max="4" width="18.5703125" bestFit="1" customWidth="1"/>
    <col min="5" max="5" width="15.140625" bestFit="1" customWidth="1"/>
    <col min="6" max="6" width="16.85546875" bestFit="1" customWidth="1"/>
    <col min="7" max="7" width="14.28515625" bestFit="1" customWidth="1"/>
    <col min="8" max="8" width="13.7109375" bestFit="1" customWidth="1"/>
    <col min="9" max="9" width="11.7109375" bestFit="1" customWidth="1"/>
    <col min="10" max="10" width="13.28515625" bestFit="1" customWidth="1"/>
    <col min="11" max="11" width="11" bestFit="1" customWidth="1"/>
    <col min="12" max="12" width="16.7109375" bestFit="1" customWidth="1"/>
    <col min="15" max="15" width="16.7109375" bestFit="1" customWidth="1"/>
  </cols>
  <sheetData>
    <row r="1" spans="1:15" x14ac:dyDescent="0.25">
      <c r="A1" s="1" t="s">
        <v>8</v>
      </c>
      <c r="B1" s="1" t="s">
        <v>2</v>
      </c>
      <c r="C1" s="1" t="s">
        <v>10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26</v>
      </c>
    </row>
    <row r="2" spans="1:15" x14ac:dyDescent="0.25">
      <c r="A2" s="3">
        <v>1</v>
      </c>
      <c r="B2" s="3" t="s">
        <v>15</v>
      </c>
      <c r="C2" s="3" t="s">
        <v>0</v>
      </c>
      <c r="D2" s="3" t="s">
        <v>4</v>
      </c>
      <c r="E2" s="3" t="s">
        <v>7</v>
      </c>
      <c r="F2" s="3">
        <v>5</v>
      </c>
      <c r="G2" s="3">
        <v>1.6863999999999999</v>
      </c>
      <c r="H2" s="4">
        <v>1.675</v>
      </c>
      <c r="I2" s="5">
        <v>-12.0696693664724</v>
      </c>
      <c r="J2" s="5">
        <v>-77.079391388547904</v>
      </c>
      <c r="K2" s="5">
        <v>0</v>
      </c>
      <c r="L2" s="5">
        <v>-5</v>
      </c>
      <c r="M2" s="5">
        <v>15</v>
      </c>
      <c r="N2" s="5">
        <v>0</v>
      </c>
      <c r="O2" s="5">
        <v>-0.37</v>
      </c>
    </row>
    <row r="3" spans="1:15" x14ac:dyDescent="0.25">
      <c r="A3" s="3">
        <v>2</v>
      </c>
      <c r="B3" s="3" t="s">
        <v>16</v>
      </c>
      <c r="C3" s="3" t="s">
        <v>0</v>
      </c>
      <c r="D3" s="3" t="s">
        <v>4</v>
      </c>
      <c r="E3" s="3" t="s">
        <v>5</v>
      </c>
      <c r="F3" s="3">
        <v>5</v>
      </c>
      <c r="G3" s="3">
        <v>1.6742699999999999</v>
      </c>
      <c r="H3" s="4">
        <v>1.65</v>
      </c>
      <c r="I3" s="5">
        <v>-12.0696693664724</v>
      </c>
      <c r="J3" s="5">
        <v>-77.079391388547904</v>
      </c>
      <c r="K3" s="5">
        <v>0</v>
      </c>
      <c r="L3" s="5">
        <v>-5</v>
      </c>
      <c r="M3" s="5">
        <v>15</v>
      </c>
      <c r="N3" s="5">
        <v>0</v>
      </c>
      <c r="O3" s="3">
        <v>-0.25800000000000001</v>
      </c>
    </row>
    <row r="4" spans="1:15" x14ac:dyDescent="0.25">
      <c r="A4" s="3">
        <v>3</v>
      </c>
      <c r="B4" s="3" t="s">
        <v>17</v>
      </c>
      <c r="C4" s="3" t="s">
        <v>0</v>
      </c>
      <c r="D4" s="3" t="s">
        <v>4</v>
      </c>
      <c r="E4" s="3" t="s">
        <v>6</v>
      </c>
      <c r="F4" s="3">
        <v>14</v>
      </c>
      <c r="G4" s="3">
        <v>0.80456799999999995</v>
      </c>
      <c r="H4" s="4">
        <v>1.61</v>
      </c>
      <c r="I4" s="5">
        <v>-12.0696693664724</v>
      </c>
      <c r="J4" s="5">
        <v>-77.079391388547904</v>
      </c>
      <c r="K4" s="5">
        <v>0</v>
      </c>
      <c r="L4" s="5">
        <v>-5</v>
      </c>
      <c r="M4" s="5">
        <v>15</v>
      </c>
      <c r="N4" s="5">
        <v>0</v>
      </c>
      <c r="O4" s="3">
        <v>-0.23</v>
      </c>
    </row>
    <row r="5" spans="1:15" x14ac:dyDescent="0.25">
      <c r="A5" s="3">
        <v>4</v>
      </c>
      <c r="B5" s="3" t="s">
        <v>15</v>
      </c>
      <c r="C5" s="3" t="s">
        <v>1</v>
      </c>
      <c r="D5" s="3" t="s">
        <v>4</v>
      </c>
      <c r="E5" s="3" t="s">
        <v>7</v>
      </c>
      <c r="F5" s="3">
        <v>5</v>
      </c>
      <c r="G5" s="3">
        <v>1.6863999999999999</v>
      </c>
      <c r="H5" s="4">
        <v>1.675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5">
        <v>-0.37</v>
      </c>
    </row>
    <row r="6" spans="1:15" x14ac:dyDescent="0.25">
      <c r="A6" s="3">
        <v>5</v>
      </c>
      <c r="B6" s="3" t="s">
        <v>16</v>
      </c>
      <c r="C6" s="3" t="s">
        <v>1</v>
      </c>
      <c r="D6" s="3" t="s">
        <v>4</v>
      </c>
      <c r="E6" s="3" t="s">
        <v>5</v>
      </c>
      <c r="F6" s="3">
        <v>5</v>
      </c>
      <c r="G6" s="3">
        <v>1.6742699999999999</v>
      </c>
      <c r="H6" s="4">
        <v>1.65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-0.25800000000000001</v>
      </c>
    </row>
    <row r="7" spans="1:15" x14ac:dyDescent="0.25">
      <c r="A7" s="3">
        <v>6</v>
      </c>
      <c r="B7" s="3" t="s">
        <v>17</v>
      </c>
      <c r="C7" s="3" t="s">
        <v>1</v>
      </c>
      <c r="D7" s="3" t="s">
        <v>4</v>
      </c>
      <c r="E7" s="3" t="s">
        <v>6</v>
      </c>
      <c r="F7" s="3">
        <v>14</v>
      </c>
      <c r="G7" s="3">
        <v>0.80456799999999995</v>
      </c>
      <c r="H7" s="4">
        <v>1.61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">
        <v>-0.23</v>
      </c>
    </row>
    <row r="8" spans="1:15" x14ac:dyDescent="0.25">
      <c r="A8" s="6">
        <v>7</v>
      </c>
      <c r="B8" s="3" t="s">
        <v>15</v>
      </c>
      <c r="C8" s="6" t="s">
        <v>24</v>
      </c>
      <c r="D8" s="6" t="str">
        <f>LOOKUP(C8,Locaciones[Departamento])</f>
        <v>Chachapoyas</v>
      </c>
      <c r="E8" s="6" t="s">
        <v>7</v>
      </c>
      <c r="F8" s="6">
        <v>5</v>
      </c>
      <c r="G8" s="3">
        <v>1.6863999999999999</v>
      </c>
      <c r="H8" s="7">
        <v>1.675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5">
        <v>-0.37</v>
      </c>
    </row>
    <row r="9" spans="1:15" x14ac:dyDescent="0.25">
      <c r="A9" s="6">
        <v>8</v>
      </c>
      <c r="B9" s="3" t="s">
        <v>16</v>
      </c>
      <c r="C9" s="6" t="s">
        <v>24</v>
      </c>
      <c r="D9" s="6" t="str">
        <f>LOOKUP(C9,Locaciones[Departamento])</f>
        <v>Chachapoyas</v>
      </c>
      <c r="E9" s="6" t="s">
        <v>5</v>
      </c>
      <c r="F9" s="6">
        <v>5</v>
      </c>
      <c r="G9" s="3">
        <v>1.6742699999999999</v>
      </c>
      <c r="H9" s="7">
        <v>1.65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">
        <v>-0.25800000000000001</v>
      </c>
    </row>
    <row r="10" spans="1:15" x14ac:dyDescent="0.25">
      <c r="A10" s="6">
        <v>9</v>
      </c>
      <c r="B10" s="3" t="s">
        <v>17</v>
      </c>
      <c r="C10" s="6" t="s">
        <v>24</v>
      </c>
      <c r="D10" s="6" t="str">
        <f>LOOKUP(C10,Locaciones[Departamento])</f>
        <v>Chachapoyas</v>
      </c>
      <c r="E10" s="6" t="s">
        <v>6</v>
      </c>
      <c r="F10" s="6">
        <v>14</v>
      </c>
      <c r="G10" s="3">
        <v>0.80456799999999995</v>
      </c>
      <c r="H10" s="7">
        <v>1.61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">
        <v>-0.23</v>
      </c>
    </row>
    <row r="11" spans="1:15" x14ac:dyDescent="0.25">
      <c r="A11" s="6">
        <v>10</v>
      </c>
      <c r="B11" s="3" t="s">
        <v>15</v>
      </c>
      <c r="C11" s="6" t="s">
        <v>27</v>
      </c>
      <c r="D11" s="6" t="s">
        <v>30</v>
      </c>
      <c r="E11" s="6" t="s">
        <v>7</v>
      </c>
      <c r="F11" s="6">
        <v>5</v>
      </c>
      <c r="G11" s="3">
        <v>1.6863999999999999</v>
      </c>
      <c r="H11" s="7">
        <v>1.675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5">
        <v>-0.37</v>
      </c>
    </row>
    <row r="12" spans="1:15" x14ac:dyDescent="0.25">
      <c r="A12" s="6">
        <v>11</v>
      </c>
      <c r="B12" s="3" t="s">
        <v>16</v>
      </c>
      <c r="C12" s="6" t="s">
        <v>27</v>
      </c>
      <c r="D12" s="6" t="s">
        <v>30</v>
      </c>
      <c r="E12" s="6" t="s">
        <v>5</v>
      </c>
      <c r="F12" s="6">
        <v>5</v>
      </c>
      <c r="G12" s="3">
        <v>1.6742699999999999</v>
      </c>
      <c r="H12" s="7">
        <v>1.65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">
        <v>-0.25800000000000001</v>
      </c>
    </row>
    <row r="13" spans="1:15" x14ac:dyDescent="0.25">
      <c r="A13" s="6">
        <v>12</v>
      </c>
      <c r="B13" s="3" t="s">
        <v>17</v>
      </c>
      <c r="C13" s="6" t="s">
        <v>27</v>
      </c>
      <c r="D13" s="6" t="s">
        <v>30</v>
      </c>
      <c r="E13" s="6" t="s">
        <v>6</v>
      </c>
      <c r="F13" s="6">
        <v>14</v>
      </c>
      <c r="G13" s="3">
        <v>0.80456799999999995</v>
      </c>
      <c r="H13" s="7">
        <v>1.61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">
        <v>-0.23</v>
      </c>
    </row>
    <row r="14" spans="1:15" x14ac:dyDescent="0.25">
      <c r="A14" s="6">
        <v>13</v>
      </c>
      <c r="B14" s="3" t="s">
        <v>15</v>
      </c>
      <c r="C14" s="6" t="s">
        <v>28</v>
      </c>
      <c r="D14" s="6" t="s">
        <v>31</v>
      </c>
      <c r="E14" s="6" t="s">
        <v>7</v>
      </c>
      <c r="F14" s="6">
        <v>5</v>
      </c>
      <c r="G14" s="3">
        <v>1.6863999999999999</v>
      </c>
      <c r="H14" s="7">
        <v>1.675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">
        <v>-0.37</v>
      </c>
    </row>
    <row r="15" spans="1:15" x14ac:dyDescent="0.25">
      <c r="A15" s="6">
        <v>14</v>
      </c>
      <c r="B15" s="3" t="s">
        <v>16</v>
      </c>
      <c r="C15" s="6" t="s">
        <v>28</v>
      </c>
      <c r="D15" s="6" t="s">
        <v>31</v>
      </c>
      <c r="E15" s="6" t="s">
        <v>5</v>
      </c>
      <c r="F15" s="6">
        <v>5</v>
      </c>
      <c r="G15" s="3">
        <v>1.6742699999999999</v>
      </c>
      <c r="H15" s="7">
        <v>1.65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">
        <v>-0.25800000000000001</v>
      </c>
    </row>
    <row r="16" spans="1:15" x14ac:dyDescent="0.25">
      <c r="A16" s="6">
        <v>15</v>
      </c>
      <c r="B16" s="3" t="s">
        <v>17</v>
      </c>
      <c r="C16" s="6" t="s">
        <v>28</v>
      </c>
      <c r="D16" s="6" t="s">
        <v>31</v>
      </c>
      <c r="E16" s="6" t="s">
        <v>6</v>
      </c>
      <c r="F16" s="6">
        <v>14</v>
      </c>
      <c r="G16" s="3">
        <v>0.80456799999999995</v>
      </c>
      <c r="H16" s="7">
        <v>1.61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3">
        <v>-0.23</v>
      </c>
    </row>
    <row r="17" spans="1:15" x14ac:dyDescent="0.25">
      <c r="A17" s="6">
        <v>16</v>
      </c>
      <c r="B17" s="3" t="s">
        <v>15</v>
      </c>
      <c r="C17" s="6" t="s">
        <v>29</v>
      </c>
      <c r="D17" s="6" t="s">
        <v>32</v>
      </c>
      <c r="E17" s="6" t="s">
        <v>7</v>
      </c>
      <c r="F17" s="6">
        <v>5</v>
      </c>
      <c r="G17" s="3">
        <v>1.6863999999999999</v>
      </c>
      <c r="H17" s="7">
        <v>1.675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5">
        <v>-0.37</v>
      </c>
    </row>
    <row r="18" spans="1:15" x14ac:dyDescent="0.25">
      <c r="A18" s="6">
        <v>17</v>
      </c>
      <c r="B18" s="3" t="s">
        <v>16</v>
      </c>
      <c r="C18" s="6" t="s">
        <v>29</v>
      </c>
      <c r="D18" s="6" t="s">
        <v>32</v>
      </c>
      <c r="E18" s="6" t="s">
        <v>5</v>
      </c>
      <c r="F18" s="6">
        <v>5</v>
      </c>
      <c r="G18" s="3">
        <v>1.6742699999999999</v>
      </c>
      <c r="H18" s="7">
        <v>1.65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3">
        <v>-0.25800000000000001</v>
      </c>
    </row>
    <row r="19" spans="1:15" x14ac:dyDescent="0.25">
      <c r="A19" s="6">
        <v>18</v>
      </c>
      <c r="B19" s="3" t="s">
        <v>17</v>
      </c>
      <c r="C19" s="6" t="s">
        <v>29</v>
      </c>
      <c r="D19" s="6" t="s">
        <v>32</v>
      </c>
      <c r="E19" s="6" t="s">
        <v>6</v>
      </c>
      <c r="F19" s="6">
        <v>14</v>
      </c>
      <c r="G19" s="3">
        <v>0.80456799999999995</v>
      </c>
      <c r="H19" s="7">
        <v>1.61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3">
        <v>-0.23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12.85546875" bestFit="1" customWidth="1"/>
    <col min="2" max="2" width="18.5703125" bestFit="1" customWidth="1"/>
  </cols>
  <sheetData>
    <row r="1" spans="1:2" x14ac:dyDescent="0.25">
      <c r="A1" s="2" t="s">
        <v>2</v>
      </c>
      <c r="B1" s="2" t="s">
        <v>3</v>
      </c>
    </row>
    <row r="2" spans="1:2" x14ac:dyDescent="0.25">
      <c r="A2" s="1" t="s">
        <v>0</v>
      </c>
      <c r="B2" s="1" t="s">
        <v>4</v>
      </c>
    </row>
    <row r="3" spans="1:2" x14ac:dyDescent="0.25">
      <c r="A3" s="1" t="s">
        <v>1</v>
      </c>
      <c r="B3" s="1" t="s">
        <v>4</v>
      </c>
    </row>
    <row r="4" spans="1:2" x14ac:dyDescent="0.25">
      <c r="A4" s="1" t="s">
        <v>24</v>
      </c>
      <c r="B4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16.28515625" bestFit="1" customWidth="1"/>
  </cols>
  <sheetData>
    <row r="1" spans="1:1" x14ac:dyDescent="0.25">
      <c r="A1" s="2" t="s">
        <v>9</v>
      </c>
    </row>
    <row r="2" spans="1:1" x14ac:dyDescent="0.25">
      <c r="A2" s="1" t="s">
        <v>5</v>
      </c>
    </row>
    <row r="3" spans="1:1" x14ac:dyDescent="0.25">
      <c r="A3" s="1" t="s">
        <v>6</v>
      </c>
    </row>
    <row r="4" spans="1:1" x14ac:dyDescent="0.25">
      <c r="A4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Instalacion</vt:lpstr>
      <vt:lpstr>Locaciones</vt:lpstr>
      <vt:lpstr>Tecnologias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Berastain</dc:creator>
  <cp:lastModifiedBy>Arturo Emilio Berastain Hurtado</cp:lastModifiedBy>
  <dcterms:created xsi:type="dcterms:W3CDTF">2020-06-10T20:10:01Z</dcterms:created>
  <dcterms:modified xsi:type="dcterms:W3CDTF">2021-05-13T02:04:56Z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b4377ee1-fec0-4bbb-8e19-5cb32ed5a256</vt:lpwstr>
  </property>
</Properties>
</file>